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8_{1385F92C-600A-44DC-851B-4B37520BA589}" xr6:coauthVersionLast="47" xr6:coauthVersionMax="47" xr10:uidLastSave="{00000000-0000-0000-0000-000000000000}"/>
  <bookViews>
    <workbookView xWindow="-120" yWindow="-120" windowWidth="29040" windowHeight="15840"/>
  </bookViews>
  <sheets>
    <sheet name="SHINE CASE DIRECTORY" sheetId="1" r:id="rId1"/>
  </sheets>
  <calcPr calcId="0"/>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40" i="1" l="1"/>
  <c r="G41" i="1"/>
  <c r="G42" i="1"/>
  <c r="G44" i="1"/>
  <c r="G46" i="1"/>
  <c r="I50" i="1"/>
</calcChain>
</file>

<file path=xl/sharedStrings.xml><?xml version="1.0" encoding="utf-8"?>
<sst xmlns="http://schemas.openxmlformats.org/spreadsheetml/2006/main" count="431" uniqueCount="272">
  <si>
    <t>ISELL QUEUE</t>
  </si>
  <si>
    <t>CASE RECORD TYPE</t>
  </si>
  <si>
    <t>Automatic Case Owner</t>
  </si>
  <si>
    <t>CORRECT CASE OWNER</t>
  </si>
  <si>
    <t>Additional Information Required When Moving</t>
  </si>
  <si>
    <t xml:space="preserve">TYPE </t>
  </si>
  <si>
    <t>SUB TYPE</t>
  </si>
  <si>
    <t>CATEGORY</t>
  </si>
  <si>
    <t>Description</t>
  </si>
  <si>
    <t>Invoice Reprint</t>
  </si>
  <si>
    <t>EBS</t>
  </si>
  <si>
    <t>Main Invoicing</t>
  </si>
  <si>
    <t>Invoice Reprint (Non - iQor)</t>
  </si>
  <si>
    <t>Documentation Request</t>
  </si>
  <si>
    <t>Invoice Only
Supporting Documents Only
Invoice and Supporting Documents
Inspection Documents
Reweigh Certificate
Statement Only
Account Aging</t>
  </si>
  <si>
    <t>None</t>
  </si>
  <si>
    <t> Customer is requesting for documents such as but not limited to
-Invoice Copy
-BOL
-DR
-Reweight/Inspection Certificate
-Detention
-Blind Shipment
-Docs under Cargo Care
(Redl, Storage, Dock pu and Drop off)
-Aging Request
-Statement  of Account</t>
  </si>
  <si>
    <t>Billing Dispute - Rebill Issue</t>
  </si>
  <si>
    <t>Billing Dispute Lvl 1 (iQor)</t>
  </si>
  <si>
    <t>Incorrect Debtor</t>
  </si>
  <si>
    <t>Shipper
Consignee
3rd Party
Terms
Letter of Authority
Click this for a detailed description</t>
  </si>
  <si>
    <t>shipper/consignee/3rd party (preferred Account No.)
Letter of Authority (attach doc)</t>
  </si>
  <si>
    <t> Request to rebill per BOL, LOA, RVSL</t>
  </si>
  <si>
    <t>Billing Dispute (Reference Number Setup/Edit)</t>
  </si>
  <si>
    <t>Account/Reference Edits Updates</t>
  </si>
  <si>
    <t>Invoice Setup (DO NOT USE)
Address Change (Do NOT USE)
Reference Edit Setup
Reference Number/Edit Update</t>
  </si>
  <si>
    <t>Any request about reference number
-Add
-Delete
-Update
Sample reference (PO, SNBR, SO etc.)</t>
  </si>
  <si>
    <t>FXF Guaranteed Service Dispute</t>
  </si>
  <si>
    <t>Guaranteed Service Dispute (Non - iQor)</t>
  </si>
  <si>
    <t>Guaranteed Shipment</t>
  </si>
  <si>
    <t>Money Back Guarantee (MBG)
Guarantee Surcharge</t>
  </si>
  <si>
    <t>Money Back Guarantee
(GAMD)
(GTE)
(CDW)</t>
  </si>
  <si>
    <t>  -AM DELIVERY (GAMD)
-CLOSE OF BUSINESS DELIVERY (GTE)
-CUSTOMER DELIVERY WINDOW (CDW)</t>
  </si>
  <si>
    <t>Pricing 10 pros or less</t>
  </si>
  <si>
    <t>Pricing Disputes (iQor)</t>
  </si>
  <si>
    <t>Incorrect Rate</t>
  </si>
  <si>
    <t>Rate
Discount
Fuel
Other Surcharge/Accessorial</t>
  </si>
  <si>
    <t>Pricing related dispute
-Agreement
-Tariff
-Contract
-Exception
-Pricing related disputes about accessorial workable
 BD LVL 1 &amp; LVL 2
For pricing related disputes on accessorials under
DISPUTES case category -
DO NOT ASSIGN TO THIS CASE OWNER</t>
  </si>
  <si>
    <t>Backdates</t>
  </si>
  <si>
    <t>Backdates (Non - iQor)</t>
  </si>
  <si>
    <t xml:space="preserve">Specific request is to RERATE pros on a specific date OR using an agreement. Some will indicate specific date range.
Another scenario:
• Implementation discrepancies
• CHT-related issues
• Requests requiring invoice manipulation or backdating adjustments </t>
  </si>
  <si>
    <t>Dispute Resolution</t>
  </si>
  <si>
    <t>Billing Dispute LVL 2 (iQor)</t>
  </si>
  <si>
    <t>Quote Review
Freight Direct
Freight Box (Pending)</t>
  </si>
  <si>
    <t>Volume Quote and Rate Quote Rebill and Rate Dispute
Add VQ_ or LQ_ in the beginning of the subject line</t>
  </si>
  <si>
    <t>Inspection Review</t>
  </si>
  <si>
    <t>Capacity Load Fee Dispute (Non - iQor)</t>
  </si>
  <si>
    <t>Capacity Load  - email to case should be routed to Capacity Load as case owner</t>
  </si>
  <si>
    <t>Inspection Dispute (Non - iQor)
(not Inspection Review)</t>
  </si>
  <si>
    <t>Inspection Review (no Inspection Dispute)</t>
  </si>
  <si>
    <t xml:space="preserve">
Cubic Capacity
Overlength
Extreme Length
Class/NMFC
Dimension</t>
  </si>
  <si>
    <t> </t>
  </si>
  <si>
    <t>Reweigh Review</t>
  </si>
  <si>
    <t>Reweigh Dispute (iQor)
(not Reweigh Review)</t>
  </si>
  <si>
    <t>Reweigh Review (no Reweigh Dispute)</t>
  </si>
  <si>
    <t>Weight Issue
Reweigh Fee</t>
  </si>
  <si>
    <t>Shipment Reweighed - Yes
Shipment Reweighed - Not Sure
Shipment Reweighed - No</t>
  </si>
  <si>
    <t>Billing Dispute</t>
  </si>
  <si>
    <t>Billing Dispute Lvl 1  (iQor)</t>
  </si>
  <si>
    <t>Other Invoicing</t>
  </si>
  <si>
    <t>Weight Update per BOL</t>
  </si>
  <si>
    <t xml:space="preserve">
 - Shipment Reweighed - Yes
 - Shipment Reweighed - Not Sure
 - Shipment Reweighed - No.</t>
  </si>
  <si>
    <t>Billing Dispute (Service level Update)</t>
  </si>
  <si>
    <t>Service Level</t>
  </si>
  <si>
    <t>Billing Dispute (Change of Currency of Invoice)</t>
  </si>
  <si>
    <t>Currency</t>
  </si>
  <si>
    <t>Billing Dispute Lvl 2 (iQor)</t>
  </si>
  <si>
    <t>Class Update per BOL/REWE</t>
  </si>
  <si>
    <t>Combined Shipment</t>
  </si>
  <si>
    <t>Duplicate Shipment</t>
  </si>
  <si>
    <t>WG001 - Corteva</t>
  </si>
  <si>
    <t>Dispute Focus 01  (Non - iQor)</t>
  </si>
  <si>
    <t>Choose the correct Type based on the Dispute</t>
  </si>
  <si>
    <t>Choose the correct Sub-type based on the Dispute</t>
  </si>
  <si>
    <t>WG002 - CASS</t>
  </si>
  <si>
    <t>Dispute Focus 02  (Non - iQor)</t>
  </si>
  <si>
    <t>WG003 - Parker Hannifin</t>
  </si>
  <si>
    <t>Dispute Focus 03  (Non - iQor)</t>
  </si>
  <si>
    <t>WG004 - TQL (Total Quality Logistics)</t>
  </si>
  <si>
    <t>Dispute Focus 04  (Non - iQor)</t>
  </si>
  <si>
    <t>WG006 - Hub Group</t>
  </si>
  <si>
    <t>Dispute Focus 06  (Non - iQor)</t>
  </si>
  <si>
    <t>Email domain is @hubgroup.com</t>
  </si>
  <si>
    <t>WG007 - Sherwin Williams</t>
  </si>
  <si>
    <t>Dispute Focus 07  (Non - iQor)</t>
  </si>
  <si>
    <t>Email domain is @tql.com</t>
  </si>
  <si>
    <t>Write-offrequests</t>
  </si>
  <si>
    <t>Write-offrequests (iQor)</t>
  </si>
  <si>
    <t>Write Offs</t>
  </si>
  <si>
    <t>Write Off Requests Coming from Sales or OPS</t>
  </si>
  <si>
    <t>OVC Prep</t>
  </si>
  <si>
    <t>Overcharge Claims  (iQor)
OVC Prep and OVC Processing will be handled under the same Case Owner (OverCharge Claim). Same goes with OVC Follow up.
Note: For OVC Follow Up, if requested information of the customer is available and workable on your end, proceed and work on the case. If information requested is not available on any tools and case cannot be closed. Pend the case and send an email to the Training Team and your assigned SME who will forward the case to the Team Lead for confirmation.</t>
  </si>
  <si>
    <t>If the email or case has an attached Overcharge Claim Form
Customer email states keywords like "Overcharge Claim" or "OverCharge"
Pro should be Paid and Closed in order to be worked on Overcharge Claim Queue</t>
  </si>
  <si>
    <t>OVC Processing</t>
  </si>
  <si>
    <t>Int'l Offshore Dispute  (Non - iQor)</t>
  </si>
  <si>
    <t>All disputes for International Shipment (HI, AK, PR, MX, VI) including INTRA CA and Cross border shipment should  now be moved to INTL OFFSHORE DISPUTE. 
For INTRA CA and Cross Border Shipment:
A. If the request cannot be done or the rate cannot be pulled through Auto Rating (getting an Error), proceed and move it to INTL OFFSHORE DISPUTE.
B. If the request can be done and rates can be pulled through Auto Rating without an error, proceed with the correction. DO NOT MOVE THE CASE TO INTL OFFSHORE DISPUTE</t>
  </si>
  <si>
    <t>If origin or destination is from Alaska, Puerto Rico, Hawaii, Virgin Island, Mexico, Intra-Canada and request cannot be done due to rate error.
(If no error, treat it as regular case)
If shipment is international and the requests falls on Disputes case record type (Such as, Detention, Liftgate, Limited Access, Nost / VFNU, Notify, Reconsignment, Residential) follow DISPUTES case record type assignment</t>
  </si>
  <si>
    <t>Accounts Processing</t>
  </si>
  <si>
    <t>AE&amp;M</t>
  </si>
  <si>
    <t>Transfer Queue - AE&amp;M</t>
  </si>
  <si>
    <t>System auto-assigns to Transfer Queue - AE&amp;M  (Non - iQor)</t>
  </si>
  <si>
    <t>Account Creation</t>
  </si>
  <si>
    <t>Request is to get an account created</t>
  </si>
  <si>
    <t>Account Maintenance</t>
  </si>
  <si>
    <t> Any other concerns related to existing accounts (both EDI and non-EDI accounts)</t>
  </si>
  <si>
    <t>Main Invoicing Dispute (DO NOT USE)</t>
  </si>
  <si>
    <t>Credit Hold</t>
  </si>
  <si>
    <t>Customer wants to remove the Hold Status on their account</t>
  </si>
  <si>
    <t>Mail payment/Cash payment via mail</t>
  </si>
  <si>
    <t>" Customer wants to make payment and asking for remittance/mailing address
With Customer’s payment, Customer must furnish the pro numbers to which Customer’s payment applies. Payment should be sent using Customer’s
remittance advice to one of the following"</t>
  </si>
  <si>
    <t>Not related to Backdates</t>
  </si>
  <si>
    <t>Batch Rates</t>
  </si>
  <si>
    <t>Batch Rates Agents</t>
  </si>
  <si>
    <t>Test Batch Rerate  (Non - iQor)</t>
  </si>
  <si>
    <t>Quantity of Rates Requested
Accessorial Charges Included?
Include Fuel Surcharge Estimates?
Choose a Rate Option
   - Rate using current Customers Pricing Agreement (Already Implemented)
   - Rate using proposal/unsigned Pricing Agreement
   - Rate using provided instruction (Discount, Absolute Minimum Charge, Accessorial Reductions, etc.)
Service Type
Case Details</t>
  </si>
  <si>
    <t>Cash Research</t>
  </si>
  <si>
    <t>ARCOA</t>
  </si>
  <si>
    <t>ARCOA  (Non - iQor)</t>
  </si>
  <si>
    <t>Status = NEW
SubType = Blank
Make sure you are moving a Parent Case to Cash Research since they cannot access Cloned Cases</t>
  </si>
  <si>
    <t>Payment Research
Escalation
Application
ACHCHECK
Affidavit
COA Canada
Credit Card
Deducation
Electronic Payment
Executive Escalation
Express
FBO
Misdirected
Paper Check
Refund Request
Refund Research
Remittance Advise
Junk Email
CHROBINSON
EFT Set up Request</t>
  </si>
  <si>
    <t> If case got reopened and the new dispute of the customer should be handled by Cash Research for a totally different pro,  advise customer to send an email to arcoa@fedexfreight.com
If the case is already addressed to arcoa@fedexfreight.com, make sure it is a Parent case and move it to Cash Research Record Type</t>
  </si>
  <si>
    <t>EFT/Wire Transfer Payment/W8 -W9 Form</t>
  </si>
  <si>
    <t>Available on fedexfreight.com / Support and Resources for the customer: https://www.fedexfreight.com/en-us/support-resources/ach-eft-request-form</t>
  </si>
  <si>
    <t>FedEx Customer Service
(1-800-GOFEDEX)</t>
  </si>
  <si>
    <t>Central CS</t>
  </si>
  <si>
    <t>Customer Service Tier 2</t>
  </si>
  <si>
    <t>• Delivery Status / Tracking Requests
• Shipping / Pickup Requests or Delivery Concerns (including additional handling or service requests)
• Will Call Requests or Cancellations
• Dock Pickup/Drop-Off Requests
• Reconsignment or Return to Shipper Requests
• LTL Rate Quote Requests
• If the account has no pricing on file and the customer is requesting one</t>
  </si>
  <si>
    <t>Shipment Research</t>
  </si>
  <si>
    <t>Shipment Research
 - Delivery Dispute
- Delivery Issue
- Distessed Shipment
 - Shortage In Transit
 - Partial Shipment/Shipment Received in error</t>
  </si>
  <si>
    <t> DO NOT MOVE ANYTHING ON THIS CASE RECORD TYPE
For Any Customer Service Concern, advise customer to contact FedEx Freight Customer Service phone no.
1-866-FXF-4LTL (1-866-393-4585)</t>
  </si>
  <si>
    <t>Service Change</t>
  </si>
  <si>
    <t>Special Handling</t>
  </si>
  <si>
    <t xml:space="preserve">    - Liftgate
    - Customer Delivery Window
    - Guaranteed Delivery
    - Notify (Appt)
    - Other
    - Inside Delivery
    - Notify Prior (Appt)</t>
  </si>
  <si>
    <t>Reconsignment</t>
  </si>
  <si>
    <t xml:space="preserve">    - Consignee Change
    - Dock Pick up
    - Relinquishment
    - Return to Shipper</t>
  </si>
  <si>
    <t>OS&amp;D</t>
  </si>
  <si>
    <t>Compliment</t>
  </si>
  <si>
    <t>Complaint</t>
  </si>
  <si>
    <t>FCAT</t>
  </si>
  <si>
    <t>Manual Rate</t>
  </si>
  <si>
    <t>Quote</t>
  </si>
  <si>
    <t>PCC/DCC</t>
  </si>
  <si>
    <t>Document Copies</t>
  </si>
  <si>
    <t>Main Invoicing Dispute</t>
  </si>
  <si>
    <t>Parcel- Ground/Express Shipments</t>
  </si>
  <si>
    <t>In the event that an Express or Ground request is received, agents must inform the customer that they need to contact Federal Express Corporation directly, as we are a separate operating company and are unable to assist with such requests. Customers should be advised to contact Federal Express Corporation at 1-800-622-1147 for further assistance and information.</t>
  </si>
  <si>
    <t>Sample Template:
Thank you for reaching out. Please be advised that FedEx Freight is a separate operating company from Federal Express Corporation, and we are unable to assist with Express/Ground shipment concerns. For further assistance, please contact Federal Express Corporation directly at 1-800-622-1147.</t>
  </si>
  <si>
    <t>file.freightclaim@fedex.com</t>
  </si>
  <si>
    <t>Claims</t>
  </si>
  <si>
    <t>Claims - US FXF Claims</t>
  </si>
  <si>
    <t>Claims - US FXF Claims  (Non - iQor)</t>
  </si>
  <si>
    <t>Case Queue ( Claims - US FXF Claims)
If the dispute is to rebill  a lost/damaged shipment and they claim that it was sent free astray, work on BD LVL 1.
If the request is about a claim that they filed or about to be filed. Move it to Claim Case Record Type.</t>
  </si>
  <si>
    <t>Sales (SRC)
Claim
Cargo Risk
Inspection
Recovery
EAU
Main Invoicing Dispute
**All short dispute should also be moved to Claims - no need to enter TYPE for All Short</t>
  </si>
  <si>
    <t>Sales (SRC)
 - General Question (no claim filed)
 - Dispute of Declination or Amendment
 - Claim Status
 - Claim Report
 - Check Issue
 - Claim Appeal TBA</t>
  </si>
  <si>
    <t>SBL EMAIL</t>
  </si>
  <si>
    <t>Disputes</t>
  </si>
  <si>
    <t>Main Invoixing</t>
  </si>
  <si>
    <t>Detention (Non - iQor)
Residential (Non - iQor)
Limited Access (Non - iQor)
Port (Non - iQor)
Exhibition  (Non - iQor)</t>
  </si>
  <si>
    <t>PPP,
Do not create multiple case for multiple DISPUTES ACCS request instead, move them to DST TEAM. DO NOT COMBINE iQor (Dispute2) and non-iQor (SBL Email) pros in 1 case. This should be PPP'd.
Please click this for more details
No need to put a keyword in the subject line since the case owner is accessorial?specific
All dispute type (rebill, rates, etc) will be moved to Disputes</t>
  </si>
  <si>
    <t>Detention
Residential Access
Limited Access
Port/Exhibition
Port/Exhibition</t>
  </si>
  <si>
    <t>DISPUTE 2</t>
  </si>
  <si>
    <t>No Shipment Tendered (NOST) (iQor)
Liftgate (iQor)
Notify (Appointment) (iQor)
Reconsignment Fee (iQor)
Reconsignment/RTS/REL (iQor)</t>
  </si>
  <si>
    <t>No Shipment Tendered (NOST)
Other
Notify
Other
Other</t>
  </si>
  <si>
    <t>OPS SUPPORT DISPUTES  (iQor)</t>
  </si>
  <si>
    <t>Move the case but make sure to update the Subject line by adding the corresponding keyword based on the Dispute.
Sort And Segregate Fee_SSG
Redelivery Fee(REDL)_RDEL
Storage Fee _STOR
Inside Delivery/Pickup_INSIDE</t>
  </si>
  <si>
    <t>Dsiputes</t>
  </si>
  <si>
    <t>Other</t>
  </si>
  <si>
    <t>Billing Disputes LVL 1  (iQor)</t>
  </si>
  <si>
    <t xml:space="preserve">
Move the case but make sure to update the Subject line by adding the corresponding keyword based on the Dispute.
High Cost and Demand Surcharge_HIGH / _DEMAND
Lumper Service Fee_LUMP
Zip Service Charge_ZIP
Cross-Border Fee_CROSS
Early Delivery Fee_EARLY
Canadian Surcharge(ARD/ARP)_CANADIAN
Canadian Custom Inspection Fee_CCIN
Region Mall Fee_REGION
Retail Flex Delivery_RETAIL</t>
  </si>
  <si>
    <t>Surcharge/Accessorial</t>
  </si>
  <si>
    <t>Other (free form)</t>
  </si>
  <si>
    <t>Billing Disputes LVL 2  (iQor)</t>
  </si>
  <si>
    <t xml:space="preserve">
Move the case but make sure to update the Subject line by adding the corresponding keyword based on the Dispute.
Blind Shipment_BLND
Carrier Liability Fee/_LIABILITY
Collect On Delivery(COD) Release Fee_COD
Hazardous Material_HAZMAT
Inbond fee_INBOND
Protect From Freezing Fee_PFF
Non Business Hour/Day PU/Delivery Fee_NBH
Overflow Charge - Volume Shipment_OVER
Weighing Service(WGTV) _WGTV
Handling Fee(HNDP/HNDC)_HNDL
Invalid Credit Taken (A0)_CTAKEN</t>
  </si>
  <si>
    <t>EDI_invandremit@fedex.com</t>
  </si>
  <si>
    <t>EDI</t>
  </si>
  <si>
    <t>EDI Invoicing/Remittance</t>
  </si>
  <si>
    <t>EDI Invoicing/Remittance  (Non - iQor)</t>
  </si>
  <si>
    <t>EDI Invoicing</t>
  </si>
  <si>
    <t>Acknowledgement - 997
Delivery Manifest - 212
Electronic BOL - 211
Electronic Load Tender - 204
Invoice - 210
Payment/Remittance - 820
Status (Tracking) - 214
Other
Invoicing - New EDI Invoicing and Remittance Setup
Transportation - New EDI Setup
Transportation - Change Existing Setup
Transporation - Research
Invoicing - EDI Customer Consultation
Invoicing - Change EDI Setup
Invoicing - Resend Invoices
Invoicing - EDI Invoice File Issue
Invoicing - Add/Remove EDI Shipping Accounts
Invoicing - Add/Remove E-images</t>
  </si>
  <si>
    <t> Please reach out to Training Team for Confirmation before moving any case to this record type</t>
  </si>
  <si>
    <t>FBO Support</t>
  </si>
  <si>
    <t>Rev-FIOBilling</t>
  </si>
  <si>
    <t>FXF - FBO Support</t>
  </si>
  <si>
    <t>Issues on Account in Freight Bill Online
(Do Not Use This Case Record Type</t>
  </si>
  <si>
    <t>LTL Solutions</t>
  </si>
  <si>
    <t>Customer Name
Contact Name</t>
  </si>
  <si>
    <t>LTL Onboarding</t>
  </si>
  <si>
    <t>LTL
Fedex Frieght Direct
LTL &amp; FXFD
Mode Optimization</t>
  </si>
  <si>
    <t>DO NOT MOVE ANYTHING ON THIS RECORD TYPE</t>
  </si>
  <si>
    <t>LTL Chronic Delivery Exception /OS&amp;D</t>
  </si>
  <si>
    <t>Chronic OS&amp;D</t>
  </si>
  <si>
    <t>LTL Chronic Service Issues</t>
  </si>
  <si>
    <t>Chronic Services</t>
  </si>
  <si>
    <t>LTL Operationsal Solutions &amp; Planned Development</t>
  </si>
  <si>
    <t>Release/Rollout/Volume Surge
Operational Support
Operational Solutions</t>
  </si>
  <si>
    <t>Priority Plus</t>
  </si>
  <si>
    <t>Retail Flex</t>
  </si>
  <si>
    <t>SPIFF Customers</t>
  </si>
  <si>
    <t>Transfer Queue - SPIFF</t>
  </si>
  <si>
    <t>Do Not Assign to this Queue</t>
  </si>
  <si>
    <t>SPOC
(Coordinator17)</t>
  </si>
  <si>
    <t>SPOC</t>
  </si>
  <si>
    <t>SPOC Agents 17</t>
  </si>
  <si>
    <t>SPOC Agents 17  (Non - iQor)</t>
  </si>
  <si>
    <t>SPOC Customer
- Select the appropriate CUSTOMER</t>
  </si>
  <si>
    <t>Balance Due Inq
Bill to Correct
Incorrect Min
AR Aging Review
180 day Policy
Accessorial
Incorrect Base Rate
Incorrect Discount
Incorrect Fuel
Overcharge Claim
Payment Denial
Refund/Credit On Guarantee
Support Docs
Volume Services</t>
  </si>
  <si>
    <t>UBERFREIGHT
CH Robinson
Echo Global
Grainger
ULINE
Sealed Air
Berry Global
Other</t>
  </si>
  <si>
    <t>Sales Operations</t>
  </si>
  <si>
    <t>Territory Planning</t>
  </si>
  <si>
    <t>Territory Change Request
Decision Maker Update
Potential Revenue Dispute
Issues, Questions, and/or Feedback</t>
  </si>
  <si>
    <t>Highspot</t>
  </si>
  <si>
    <t>Salesforce</t>
  </si>
  <si>
    <t>Bid Management</t>
  </si>
  <si>
    <t>Sales Reports</t>
  </si>
  <si>
    <t>Web Support</t>
  </si>
  <si>
    <t>Customer Name
Contact Name
If you think customers concern is about their access on the Online Website, please reach out to the Training Team before moving the case to this Web Support. DO NOT MOVE WITHOUT APPROVAL FROM TRAINING TEAM.</t>
  </si>
  <si>
    <t>Website Support</t>
  </si>
  <si>
    <t>General</t>
  </si>
  <si>
    <t>Claims
BOL Generation
Web Support - Tracking
Web Support - Rating
Web Support - Pickup
Reporting</t>
  </si>
  <si>
    <t>Please reach out to Training Team for Confirmation before moving any case to this record type</t>
  </si>
  <si>
    <t>Login Issue</t>
  </si>
  <si>
    <t>User/PW
Profile Updates/Admin</t>
  </si>
  <si>
    <t>View/Pay Invoices</t>
  </si>
  <si>
    <t>Disputes
Copy Of Invoices
Payment Assistance</t>
  </si>
  <si>
    <t>SPAM Queue  (Non - iQor)</t>
  </si>
  <si>
    <t xml:space="preserve">Main Invoicing Dispute </t>
  </si>
  <si>
    <t>Any case that does not contain any dispute or any information/concern about Freight Invoicing/Adjustment</t>
  </si>
  <si>
    <t>Preprocessing Team  (iQor)</t>
  </si>
  <si>
    <t>Preprocessing Team are NO LONGER REQUIRED to fill out the Case Type, Sub-Type and Category (unless required by the system to complete the move). It will now be the responsibility to the agent closing the case to identify the Correct Type, Sub-Type and Category of the case based on the dispute of the customer that they handled.</t>
  </si>
  <si>
    <t>PPP</t>
  </si>
  <si>
    <t>PPP  (iQor)</t>
  </si>
  <si>
    <t>When Case needs to be cloned due to the following reason:
  1. Case has a single pro but involves 2 disputes that should be handled by 2 different Case Owners
  2. Case involves multiple pros with more than 1 disputes that should be handled by 2 different Case Owners
  3. Case was already assigned to a queue but needs cloning since it gets reopened and customer has a new dispute for the same pro that needs to be handled by a different Case Owner.</t>
  </si>
  <si>
    <t>Void Request</t>
  </si>
  <si>
    <t>Billing DIsputes LVL 2  (iQor)</t>
  </si>
  <si>
    <t>Add _VOID in the beginning ofthe subject line
For any VOID Request (except disputes that are confirmed that should be voided like NOST) - please reach out to the Training Team for confirmation if we can proceed with the VOID Request.</t>
  </si>
  <si>
    <t>Government Dispute</t>
  </si>
  <si>
    <t>Government Dispute  (Non - iQor)</t>
  </si>
  <si>
    <t>Add _GOVT in the beginning ofthe subject line</t>
  </si>
  <si>
    <t>All type of request and the debtor is government
Except for Disputes Case Record Type Request and payment related issue or request
If request is to bill a government account, Proceed.
If there is an error message, move it to Government Disputes</t>
  </si>
  <si>
    <t>DIMP Rated Shipment</t>
  </si>
  <si>
    <t>If you received a case or dispute from customers regarding the rates of the pro and found that it is rated as FLAT but does not have the following keyword(CAPL, TLX, TLS, CONT, RECP, RECC) meaning they are not rated as Capacity load, Volume Shipment or Reconsignment, check if the pro has a DIMP Keyword.
See sample screenshot below.
Space &amp; Pace is in its pilot phase &amp; is a new way of rating pros using DIMS VS class or NMFC’s.
The DIMP keyword is one of several that are added to the pros when we manually rate them to identify they are rated as Space &amp; Pace.
The customers use LTL Select &amp; in most cases get quotes that are DIM based.
All of these pros are trapped in an RQ queue and manually rated by their agents.</t>
  </si>
  <si>
    <t>Forward the case to preferredcustomer@fedexfreight.com
then provide the suggested response to the customer</t>
  </si>
  <si>
    <t xml:space="preserve">
"Hello,
Thank you for contacting us regarding your Fedex Shipment. However, we do not handle Dimensional Rated Shipments so your request has been forwarded to preferredcustomer@fedex.com
You will receive an email from preferredcustomer@fedex.com when your request has been completed or if more information is required to process your request.
For future inquiries similar to this and to streamline Salesforce cases and to properly document all requests submitted, going forward, please send your conern to preferredcustomer@fedex.com.
Thank you for shipping with FedEx and we hope you have a great day.
FedEx Freight Incs - Invoicing Solutions"</t>
  </si>
  <si>
    <t>Cross Border Shipment Document Request/Concern (Customs Document)</t>
  </si>
  <si>
    <t>Cross Border Shipment Document Request/Concern (Customs Document)  (Non - iQor)</t>
  </si>
  <si>
    <t>Customer has question or concern about customs paperwork or documents including where to send them</t>
  </si>
  <si>
    <t>Advise the customer to send an email to
FISPAPS@fedexfreight.com
then Close the Case</t>
  </si>
  <si>
    <t>FedEx Trade Network</t>
  </si>
  <si>
    <t>FedEx Trade Network  (Non - iQor)</t>
  </si>
  <si>
    <t>Customer provides an attachment with FedEx Trade Networks stamp and with Invoice number that are alphanumeric.
Even if FTN is not the debtor but still part of the Shipment(either Shipper or Consignee) and disputing the charges on their shipment.
- Disputes for Brokerage Inclusive Fee
- CBM Rates Dispute for Fedex Ocean Import</t>
  </si>
  <si>
    <t>Forward the email of the customer to fxcc-fedextradenetwork@fedexfreight.com</t>
  </si>
  <si>
    <t>Hi,
Please see the request below and follow up with the customer.
Thank you,
FedEx Freight Inc - Invoicing Solution</t>
  </si>
  <si>
    <t>Web Review</t>
  </si>
  <si>
    <t>Web Review  (iQor)</t>
  </si>
  <si>
    <t>Hazel Ong</t>
  </si>
  <si>
    <t>Subject or Body of the Bill says "Collector Website Review" or has "Web Review"</t>
  </si>
  <si>
    <t>Special Accounts Customers</t>
  </si>
  <si>
    <t>LG Electronics</t>
  </si>
  <si>
    <t>Step 1: Update to Billing Dispute Lvl 1.
Step 2: Assign to (Errold David)</t>
  </si>
  <si>
    <t>"Cases that include an attached Excel file containing multiple disputes must be assigned to PPP for preprocessing of the PROs. Upon completion of preprocessing, PPP is responsible for assigning all Billing Dispute (BD)–related cases to Errold David.
In addition, all LG cases with subject lines listed below must be assigned to Errold David under the Billing Disputes LVL 1 queue:
US_DAILY_OPEN_INVOICE_FXFE
Not Invoiced, No IOD Loads for FXFE</t>
  </si>
  <si>
    <t>Williams &amp; Associates</t>
  </si>
  <si>
    <t>Step 1: Update to Billing Dispute Lvl 1.
Step 2: Assign to (Raymund Talavera)</t>
  </si>
  <si>
    <t>TO RK:
• Assign cases with subject "ABB EDI Rejects" to your name under FXF Billing Disputes
• For other cases, assign to the appropriate queue</t>
  </si>
  <si>
    <t>Ryder</t>
  </si>
  <si>
    <t>Step 1: Update to Billing Dispute Lvl 1.
Step 2: Assign to (Joselito Apog Jr.)</t>
  </si>
  <si>
    <t>To Joselito:
• Assign cases with subject "Freight bill reject notification" to your name under FXF Billing Disputes
• Assign cases with subject "Ryder Weekly Cut Bills" to your name under Pricing 10 Pros or Less
• For other cases, assign to the appropriate queue</t>
  </si>
  <si>
    <t>Nolan &amp; Cunnings</t>
  </si>
  <si>
    <t>Step 1: Update to Billing Dispute Lvl 1.
Step 2: Assign to (Mariel Guevarra)</t>
  </si>
  <si>
    <t>To Mariel:
• Assign cases with subject "Daily Rejected Bills listing for mm/dd/yyyy" to your name under FXF Billing Disputes or Pricing 10 Pros or less, depending on the dispute types
• For other cases, assign to the appropriate queue</t>
  </si>
  <si>
    <t>3M</t>
  </si>
  <si>
    <t>Step 1: Update to Billing Dispute Lvl 1.
Step 2: Assign to (Rhoda  Lyn Garcia)</t>
  </si>
  <si>
    <t>To Rhoda:
• Assign cases for 3M AutoProc Exports to your name under FXF Billing Disputes or Pricing 10 Pros or less, depending on the dispute types
• For other cases, assign to the appropriate queue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</si>
</sst>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1"/>
  <sheetViews>
    <sheetView tabSelected="1" topLeftCell="F1" zoomScale="70" zoomScaleNormal="70" workbookViewId="0">
      <selection activeCell="I2" sqref="I2"/>
    </sheetView>
  </sheetViews>
  <sheetFormatPr defaultRowHeight="15" x14ac:dyDescent="0.25"/>
  <cols>
    <col min="1" max="1" width="45.42578125" bestFit="1" customWidth="1"/>
    <col min="2" max="2" width="22" bestFit="1" customWidth="1"/>
    <col min="3" max="3" width="24" bestFit="1" customWidth="1"/>
    <col min="4" max="4" width="59.5703125" bestFit="1" customWidth="1"/>
    <col min="5" max="5" width="171" bestFit="1" customWidth="1"/>
    <col min="6" max="6" width="45.85546875" bestFit="1" customWidth="1"/>
    <col min="7" max="7" width="78.5703125" bestFit="1" customWidth="1"/>
    <col min="8" max="8" width="27.42578125" bestFit="1" customWidth="1"/>
    <col min="9" max="9" width="97.28515625" bestFit="1" customWidth="1"/>
  </cols>
  <sheetData>
    <row r="1" spans="1:9" x14ac:dyDescent="0.25">
      <c r="A1" t="s">
        <v>0</v>
      </c>
      <c r="B1" t="s">
        <v>1</v>
      </c>
      <c r="C1" t="s">
        <v>2</v>
      </c>
      <c r="D1" t="s">
        <v>3</v>
      </c>
      <c r="E1" t="s">
        <v>4</v>
      </c>
      <c r="F1" t="s">
        <v>5</v>
      </c>
      <c r="G1" t="s">
        <v>6</v>
      </c>
      <c r="H1" t="s">
        <v>7</v>
      </c>
      <c r="I1" t="s">
        <v>8</v>
      </c>
    </row>
    <row r="2" spans="1:9" ht="180" x14ac:dyDescent="0.25">
      <c r="A2" t="s">
        <v>9</v>
      </c>
      <c r="B2" t="s">
        <v>10</v>
      </c>
      <c r="C2" t="s">
        <v>11</v>
      </c>
      <c r="D2" t="s">
        <v>12</v>
      </c>
      <c r="F2" t="s">
        <v>13</v>
      </c>
      <c r="G2" s="1" t="s">
        <v>14</v>
      </c>
      <c r="H2" t="s">
        <v>15</v>
      </c>
      <c r="I2" s="1" t="s">
        <v>16</v>
      </c>
    </row>
    <row r="3" spans="1:9" ht="105" x14ac:dyDescent="0.25">
      <c r="A3" t="s">
        <v>17</v>
      </c>
      <c r="B3" t="s">
        <v>10</v>
      </c>
      <c r="D3" t="s">
        <v>18</v>
      </c>
      <c r="F3" t="s">
        <v>19</v>
      </c>
      <c r="G3" s="1" t="s">
        <v>20</v>
      </c>
      <c r="H3" s="1" t="s">
        <v>21</v>
      </c>
      <c r="I3" t="s">
        <v>22</v>
      </c>
    </row>
    <row r="4" spans="1:9" ht="90" x14ac:dyDescent="0.25">
      <c r="A4" t="s">
        <v>23</v>
      </c>
      <c r="B4" t="s">
        <v>10</v>
      </c>
      <c r="D4" t="s">
        <v>18</v>
      </c>
      <c r="F4" t="s">
        <v>24</v>
      </c>
      <c r="G4" s="1" t="s">
        <v>25</v>
      </c>
      <c r="H4" t="s">
        <v>15</v>
      </c>
      <c r="I4" s="1" t="s">
        <v>26</v>
      </c>
    </row>
    <row r="5" spans="1:9" ht="60" x14ac:dyDescent="0.25">
      <c r="A5" t="s">
        <v>27</v>
      </c>
      <c r="B5" t="s">
        <v>10</v>
      </c>
      <c r="D5" t="s">
        <v>28</v>
      </c>
      <c r="F5" t="s">
        <v>29</v>
      </c>
      <c r="G5" s="1" t="s">
        <v>30</v>
      </c>
      <c r="H5" s="1" t="s">
        <v>31</v>
      </c>
      <c r="I5" s="1" t="s">
        <v>32</v>
      </c>
    </row>
    <row r="6" spans="1:9" ht="165" x14ac:dyDescent="0.25">
      <c r="A6" t="s">
        <v>33</v>
      </c>
      <c r="B6" t="s">
        <v>10</v>
      </c>
      <c r="D6" t="s">
        <v>34</v>
      </c>
      <c r="F6" t="s">
        <v>35</v>
      </c>
      <c r="G6" s="1" t="s">
        <v>36</v>
      </c>
      <c r="I6" s="1" t="s">
        <v>37</v>
      </c>
    </row>
    <row r="7" spans="1:9" ht="105" x14ac:dyDescent="0.25">
      <c r="A7" t="s">
        <v>38</v>
      </c>
      <c r="B7" t="s">
        <v>10</v>
      </c>
      <c r="D7" t="s">
        <v>39</v>
      </c>
      <c r="I7" s="1" t="s">
        <v>40</v>
      </c>
    </row>
    <row r="8" spans="1:9" ht="45" x14ac:dyDescent="0.25">
      <c r="A8" t="s">
        <v>41</v>
      </c>
      <c r="B8" t="s">
        <v>10</v>
      </c>
      <c r="D8" t="s">
        <v>42</v>
      </c>
      <c r="F8" t="s">
        <v>35</v>
      </c>
      <c r="G8" s="1" t="s">
        <v>43</v>
      </c>
      <c r="I8" s="1" t="s">
        <v>44</v>
      </c>
    </row>
    <row r="9" spans="1:9" x14ac:dyDescent="0.25">
      <c r="A9" t="s">
        <v>45</v>
      </c>
      <c r="B9" t="s">
        <v>10</v>
      </c>
      <c r="D9" t="s">
        <v>46</v>
      </c>
      <c r="F9" t="s">
        <v>45</v>
      </c>
      <c r="G9" t="s">
        <v>47</v>
      </c>
    </row>
    <row r="10" spans="1:9" ht="90" x14ac:dyDescent="0.25">
      <c r="A10" t="s">
        <v>45</v>
      </c>
      <c r="B10" t="s">
        <v>10</v>
      </c>
      <c r="D10" s="1" t="s">
        <v>48</v>
      </c>
      <c r="F10" t="s">
        <v>49</v>
      </c>
      <c r="G10" s="1" t="s">
        <v>50</v>
      </c>
      <c r="H10" t="s">
        <v>15</v>
      </c>
      <c r="I10" t="s">
        <v>51</v>
      </c>
    </row>
    <row r="11" spans="1:9" ht="60" x14ac:dyDescent="0.25">
      <c r="A11" t="s">
        <v>52</v>
      </c>
      <c r="B11" t="s">
        <v>10</v>
      </c>
      <c r="D11" s="1" t="s">
        <v>53</v>
      </c>
      <c r="F11" t="s">
        <v>54</v>
      </c>
      <c r="G11" s="1" t="s">
        <v>55</v>
      </c>
      <c r="H11" s="1" t="s">
        <v>56</v>
      </c>
      <c r="I11" t="s">
        <v>51</v>
      </c>
    </row>
    <row r="12" spans="1:9" ht="105" x14ac:dyDescent="0.25">
      <c r="A12" t="s">
        <v>57</v>
      </c>
      <c r="B12" t="s">
        <v>10</v>
      </c>
      <c r="D12" t="s">
        <v>58</v>
      </c>
      <c r="F12" t="s">
        <v>59</v>
      </c>
      <c r="G12" t="s">
        <v>60</v>
      </c>
      <c r="H12" s="1" t="s">
        <v>61</v>
      </c>
      <c r="I12" t="s">
        <v>51</v>
      </c>
    </row>
    <row r="13" spans="1:9" x14ac:dyDescent="0.25">
      <c r="A13" t="s">
        <v>62</v>
      </c>
      <c r="B13" t="s">
        <v>10</v>
      </c>
      <c r="D13" t="s">
        <v>18</v>
      </c>
      <c r="F13" t="s">
        <v>59</v>
      </c>
      <c r="G13" t="s">
        <v>63</v>
      </c>
      <c r="H13" t="s">
        <v>15</v>
      </c>
      <c r="I13" t="s">
        <v>51</v>
      </c>
    </row>
    <row r="14" spans="1:9" x14ac:dyDescent="0.25">
      <c r="A14" t="s">
        <v>64</v>
      </c>
      <c r="B14" t="s">
        <v>10</v>
      </c>
      <c r="D14" t="s">
        <v>18</v>
      </c>
      <c r="F14" t="s">
        <v>59</v>
      </c>
      <c r="G14" t="s">
        <v>65</v>
      </c>
      <c r="H14" t="s">
        <v>15</v>
      </c>
      <c r="I14" t="s">
        <v>51</v>
      </c>
    </row>
    <row r="15" spans="1:9" x14ac:dyDescent="0.25">
      <c r="A15" t="s">
        <v>41</v>
      </c>
      <c r="B15" t="s">
        <v>10</v>
      </c>
      <c r="D15" t="s">
        <v>66</v>
      </c>
      <c r="F15" t="s">
        <v>59</v>
      </c>
      <c r="G15" t="s">
        <v>67</v>
      </c>
      <c r="H15" t="s">
        <v>15</v>
      </c>
      <c r="I15" t="s">
        <v>51</v>
      </c>
    </row>
    <row r="16" spans="1:9" x14ac:dyDescent="0.25">
      <c r="A16" t="s">
        <v>41</v>
      </c>
      <c r="B16" t="s">
        <v>10</v>
      </c>
      <c r="D16" t="s">
        <v>66</v>
      </c>
      <c r="F16" t="s">
        <v>59</v>
      </c>
      <c r="G16" t="s">
        <v>68</v>
      </c>
      <c r="H16" t="s">
        <v>15</v>
      </c>
      <c r="I16" t="s">
        <v>51</v>
      </c>
    </row>
    <row r="17" spans="1:9" x14ac:dyDescent="0.25">
      <c r="A17" t="s">
        <v>41</v>
      </c>
      <c r="B17" t="s">
        <v>10</v>
      </c>
      <c r="D17" t="s">
        <v>42</v>
      </c>
      <c r="F17" t="s">
        <v>59</v>
      </c>
      <c r="G17" t="s">
        <v>69</v>
      </c>
      <c r="H17" t="s">
        <v>15</v>
      </c>
      <c r="I17" t="s">
        <v>51</v>
      </c>
    </row>
    <row r="18" spans="1:9" x14ac:dyDescent="0.25">
      <c r="A18" t="s">
        <v>70</v>
      </c>
      <c r="B18" t="s">
        <v>10</v>
      </c>
      <c r="D18" t="s">
        <v>71</v>
      </c>
      <c r="F18" t="s">
        <v>72</v>
      </c>
      <c r="G18" t="s">
        <v>73</v>
      </c>
    </row>
    <row r="19" spans="1:9" x14ac:dyDescent="0.25">
      <c r="A19" t="s">
        <v>74</v>
      </c>
      <c r="B19" t="s">
        <v>10</v>
      </c>
      <c r="D19" t="s">
        <v>75</v>
      </c>
      <c r="F19" t="s">
        <v>72</v>
      </c>
      <c r="G19" t="s">
        <v>73</v>
      </c>
    </row>
    <row r="20" spans="1:9" x14ac:dyDescent="0.25">
      <c r="A20" t="s">
        <v>76</v>
      </c>
      <c r="B20" t="s">
        <v>10</v>
      </c>
      <c r="D20" t="s">
        <v>77</v>
      </c>
      <c r="F20" t="s">
        <v>72</v>
      </c>
      <c r="G20" t="s">
        <v>73</v>
      </c>
    </row>
    <row r="21" spans="1:9" x14ac:dyDescent="0.25">
      <c r="A21" t="s">
        <v>78</v>
      </c>
      <c r="B21" t="s">
        <v>10</v>
      </c>
      <c r="D21" t="s">
        <v>79</v>
      </c>
      <c r="F21" t="s">
        <v>72</v>
      </c>
      <c r="G21" t="s">
        <v>73</v>
      </c>
    </row>
    <row r="22" spans="1:9" x14ac:dyDescent="0.25">
      <c r="A22" t="s">
        <v>80</v>
      </c>
      <c r="B22" t="s">
        <v>10</v>
      </c>
      <c r="D22" t="s">
        <v>81</v>
      </c>
      <c r="F22" t="s">
        <v>72</v>
      </c>
      <c r="G22" t="s">
        <v>73</v>
      </c>
      <c r="I22" t="s">
        <v>82</v>
      </c>
    </row>
    <row r="23" spans="1:9" x14ac:dyDescent="0.25">
      <c r="A23" t="s">
        <v>83</v>
      </c>
      <c r="B23" t="s">
        <v>10</v>
      </c>
      <c r="D23" t="s">
        <v>84</v>
      </c>
      <c r="F23" t="s">
        <v>72</v>
      </c>
      <c r="G23" t="s">
        <v>73</v>
      </c>
      <c r="I23" t="s">
        <v>85</v>
      </c>
    </row>
    <row r="24" spans="1:9" x14ac:dyDescent="0.25">
      <c r="A24" t="s">
        <v>86</v>
      </c>
      <c r="B24" t="s">
        <v>10</v>
      </c>
      <c r="D24" t="s">
        <v>87</v>
      </c>
      <c r="F24" t="s">
        <v>88</v>
      </c>
      <c r="I24" t="s">
        <v>89</v>
      </c>
    </row>
    <row r="25" spans="1:9" ht="180" x14ac:dyDescent="0.25">
      <c r="A25" t="s">
        <v>90</v>
      </c>
      <c r="B25" t="s">
        <v>10</v>
      </c>
      <c r="D25" s="1" t="s">
        <v>91</v>
      </c>
      <c r="F25" t="s">
        <v>72</v>
      </c>
      <c r="G25" t="s">
        <v>73</v>
      </c>
      <c r="I25" s="1" t="s">
        <v>92</v>
      </c>
    </row>
    <row r="26" spans="1:9" x14ac:dyDescent="0.25">
      <c r="A26" t="s">
        <v>93</v>
      </c>
      <c r="F26" t="s">
        <v>72</v>
      </c>
      <c r="G26" t="s">
        <v>73</v>
      </c>
    </row>
    <row r="27" spans="1:9" ht="120" x14ac:dyDescent="0.25">
      <c r="B27" t="s">
        <v>10</v>
      </c>
      <c r="D27" t="s">
        <v>94</v>
      </c>
      <c r="E27" s="1" t="s">
        <v>95</v>
      </c>
      <c r="I27" s="1" t="s">
        <v>96</v>
      </c>
    </row>
    <row r="28" spans="1:9" x14ac:dyDescent="0.25">
      <c r="A28" t="s">
        <v>97</v>
      </c>
      <c r="B28" t="s">
        <v>98</v>
      </c>
      <c r="C28" t="s">
        <v>99</v>
      </c>
      <c r="D28" t="s">
        <v>100</v>
      </c>
      <c r="E28" t="s">
        <v>51</v>
      </c>
      <c r="F28" t="s">
        <v>101</v>
      </c>
      <c r="G28" t="s">
        <v>51</v>
      </c>
      <c r="H28" t="s">
        <v>51</v>
      </c>
      <c r="I28" t="s">
        <v>102</v>
      </c>
    </row>
    <row r="29" spans="1:9" x14ac:dyDescent="0.25">
      <c r="F29" t="s">
        <v>103</v>
      </c>
      <c r="G29" t="s">
        <v>51</v>
      </c>
      <c r="H29" t="s">
        <v>51</v>
      </c>
      <c r="I29" t="s">
        <v>104</v>
      </c>
    </row>
    <row r="30" spans="1:9" x14ac:dyDescent="0.25">
      <c r="F30" t="s">
        <v>105</v>
      </c>
      <c r="G30" t="s">
        <v>51</v>
      </c>
      <c r="H30" t="s">
        <v>51</v>
      </c>
      <c r="I30" t="s">
        <v>51</v>
      </c>
    </row>
    <row r="31" spans="1:9" x14ac:dyDescent="0.25">
      <c r="A31" t="s">
        <v>106</v>
      </c>
      <c r="E31" t="s">
        <v>107</v>
      </c>
    </row>
    <row r="32" spans="1:9" ht="60" x14ac:dyDescent="0.25">
      <c r="A32" t="s">
        <v>108</v>
      </c>
      <c r="E32" s="1" t="s">
        <v>109</v>
      </c>
    </row>
    <row r="34" spans="1:9" ht="150" x14ac:dyDescent="0.25">
      <c r="A34" t="s">
        <v>110</v>
      </c>
      <c r="B34" t="s">
        <v>111</v>
      </c>
      <c r="C34" t="s">
        <v>112</v>
      </c>
      <c r="D34" t="s">
        <v>113</v>
      </c>
      <c r="E34" s="1" t="s">
        <v>114</v>
      </c>
      <c r="F34" t="s">
        <v>111</v>
      </c>
      <c r="G34" t="s">
        <v>110</v>
      </c>
      <c r="H34" t="s">
        <v>51</v>
      </c>
      <c r="I34" t="s">
        <v>51</v>
      </c>
    </row>
    <row r="35" spans="1:9" ht="300" x14ac:dyDescent="0.25">
      <c r="A35" t="s">
        <v>115</v>
      </c>
      <c r="B35" t="s">
        <v>115</v>
      </c>
      <c r="C35" t="s">
        <v>116</v>
      </c>
      <c r="D35" t="s">
        <v>117</v>
      </c>
      <c r="E35" s="1" t="s">
        <v>118</v>
      </c>
      <c r="F35" t="s">
        <v>115</v>
      </c>
      <c r="G35" s="1" t="s">
        <v>119</v>
      </c>
      <c r="H35" t="s">
        <v>15</v>
      </c>
      <c r="I35" s="1" t="s">
        <v>120</v>
      </c>
    </row>
    <row r="36" spans="1:9" x14ac:dyDescent="0.25">
      <c r="A36" t="s">
        <v>121</v>
      </c>
      <c r="B36" t="s">
        <v>122</v>
      </c>
    </row>
    <row r="37" spans="1:9" ht="105" x14ac:dyDescent="0.25">
      <c r="A37" s="1" t="s">
        <v>123</v>
      </c>
      <c r="B37" t="s">
        <v>124</v>
      </c>
      <c r="C37" t="s">
        <v>125</v>
      </c>
      <c r="E37" s="1" t="s">
        <v>126</v>
      </c>
      <c r="F37" t="s">
        <v>127</v>
      </c>
      <c r="G37" s="1" t="s">
        <v>128</v>
      </c>
      <c r="H37" t="s">
        <v>51</v>
      </c>
      <c r="I37" s="1" t="s">
        <v>129</v>
      </c>
    </row>
    <row r="38" spans="1:9" ht="120" x14ac:dyDescent="0.25">
      <c r="F38" t="s">
        <v>130</v>
      </c>
      <c r="G38" t="s">
        <v>131</v>
      </c>
      <c r="H38" s="1" t="s">
        <v>132</v>
      </c>
    </row>
    <row r="39" spans="1:9" ht="60" x14ac:dyDescent="0.25">
      <c r="G39" t="s">
        <v>133</v>
      </c>
      <c r="H39" s="1" t="s">
        <v>134</v>
      </c>
    </row>
    <row r="40" spans="1:9" x14ac:dyDescent="0.25">
      <c r="F40" t="s">
        <v>135</v>
      </c>
      <c r="G40" t="e">
        <f>- Shortage
 - Damage</f>
        <v>#NAME?</v>
      </c>
      <c r="H40" t="s">
        <v>51</v>
      </c>
    </row>
    <row r="41" spans="1:9" x14ac:dyDescent="0.25">
      <c r="F41" t="s">
        <v>136</v>
      </c>
      <c r="G41" t="e">
        <f>- Agent Recognition
 - Service Excellence
 - Delivery Experience</f>
        <v>#NAME?</v>
      </c>
      <c r="H41" t="s">
        <v>51</v>
      </c>
    </row>
    <row r="42" spans="1:9" x14ac:dyDescent="0.25">
      <c r="F42" t="s">
        <v>137</v>
      </c>
      <c r="G42" t="e">
        <f>- Agent Behavior
 - Other
 - Driver
 - Safety
 - Property and Casualty
 - Chronic Pickup Failure
 - Chronic Delivery Dispute</f>
        <v>#NAME?</v>
      </c>
      <c r="H42" t="s">
        <v>51</v>
      </c>
    </row>
    <row r="43" spans="1:9" x14ac:dyDescent="0.25">
      <c r="F43" t="s">
        <v>138</v>
      </c>
      <c r="G43" t="s">
        <v>15</v>
      </c>
      <c r="H43" t="s">
        <v>51</v>
      </c>
    </row>
    <row r="44" spans="1:9" x14ac:dyDescent="0.25">
      <c r="F44" t="s">
        <v>139</v>
      </c>
      <c r="G44" t="e">
        <f>- International
 - Domestic
 - CCD</f>
        <v>#NAME?</v>
      </c>
      <c r="H44" t="s">
        <v>51</v>
      </c>
    </row>
    <row r="45" spans="1:9" x14ac:dyDescent="0.25">
      <c r="F45" t="s">
        <v>140</v>
      </c>
      <c r="G45" t="s">
        <v>15</v>
      </c>
      <c r="H45" t="s">
        <v>51</v>
      </c>
    </row>
    <row r="46" spans="1:9" x14ac:dyDescent="0.25">
      <c r="F46" t="s">
        <v>141</v>
      </c>
      <c r="G46" t="e">
        <f>- Rating
 - Pickup
 - Delivery issue
 - Billing
 -  Forwarding to Other Dept
 - General Questions
 - General Tracking
 - Non FOC Customer
 - No Reply Needed
 - Welcome Call
 - Supplies
 - Change Request
 - Customer/GTS Documentation Request
 - Operations Intervention Failure</f>
        <v>#NAME?</v>
      </c>
      <c r="H46" t="s">
        <v>51</v>
      </c>
    </row>
    <row r="47" spans="1:9" x14ac:dyDescent="0.25">
      <c r="F47" t="s">
        <v>142</v>
      </c>
      <c r="G47" t="s">
        <v>15</v>
      </c>
      <c r="H47" t="s">
        <v>51</v>
      </c>
    </row>
    <row r="48" spans="1:9" x14ac:dyDescent="0.25">
      <c r="F48" t="s">
        <v>143</v>
      </c>
      <c r="G48" t="s">
        <v>15</v>
      </c>
      <c r="H48" t="s">
        <v>51</v>
      </c>
    </row>
    <row r="49" spans="1:9" ht="60" x14ac:dyDescent="0.25">
      <c r="A49" t="s">
        <v>144</v>
      </c>
      <c r="B49" t="s">
        <v>145</v>
      </c>
      <c r="I49" s="1" t="s">
        <v>146</v>
      </c>
    </row>
    <row r="50" spans="1:9" ht="135" x14ac:dyDescent="0.25">
      <c r="A50" t="s">
        <v>147</v>
      </c>
      <c r="B50" t="s">
        <v>148</v>
      </c>
      <c r="C50" t="s">
        <v>149</v>
      </c>
      <c r="D50" t="s">
        <v>150</v>
      </c>
      <c r="E50" s="1" t="s">
        <v>151</v>
      </c>
      <c r="F50" s="1" t="s">
        <v>152</v>
      </c>
      <c r="G50" s="1" t="s">
        <v>153</v>
      </c>
      <c r="H50" t="s">
        <v>51</v>
      </c>
      <c r="I50" t="e">
        <f>- All Short Shipment
- Partial Short Shipment
- Lost Shipment
- Damaged Shipment
                                                                                                                                                                                                                                                                Please reach out to Training Team for Confirmation before moving any case to this record type</f>
        <v>#NAME?</v>
      </c>
    </row>
    <row r="51" spans="1:9" ht="135" x14ac:dyDescent="0.25">
      <c r="A51" t="s">
        <v>154</v>
      </c>
      <c r="B51" t="s">
        <v>155</v>
      </c>
      <c r="C51" t="s">
        <v>156</v>
      </c>
      <c r="D51" s="1" t="s">
        <v>157</v>
      </c>
      <c r="E51" s="1" t="s">
        <v>158</v>
      </c>
      <c r="F51" t="s">
        <v>155</v>
      </c>
      <c r="G51" s="1" t="s">
        <v>159</v>
      </c>
      <c r="H51" t="s">
        <v>15</v>
      </c>
    </row>
    <row r="52" spans="1:9" ht="135" x14ac:dyDescent="0.25">
      <c r="A52" t="s">
        <v>160</v>
      </c>
      <c r="C52" t="s">
        <v>156</v>
      </c>
      <c r="D52" s="1" t="s">
        <v>161</v>
      </c>
      <c r="E52" s="1" t="s">
        <v>158</v>
      </c>
      <c r="F52" t="s">
        <v>155</v>
      </c>
      <c r="G52" s="1" t="s">
        <v>162</v>
      </c>
      <c r="H52" t="s">
        <v>15</v>
      </c>
    </row>
    <row r="53" spans="1:9" ht="90" x14ac:dyDescent="0.25">
      <c r="C53" t="s">
        <v>156</v>
      </c>
      <c r="D53" t="s">
        <v>163</v>
      </c>
      <c r="E53" s="1" t="s">
        <v>164</v>
      </c>
      <c r="F53" t="s">
        <v>165</v>
      </c>
      <c r="G53" t="s">
        <v>166</v>
      </c>
      <c r="H53" t="s">
        <v>15</v>
      </c>
    </row>
    <row r="54" spans="1:9" ht="180" x14ac:dyDescent="0.25">
      <c r="B54" t="s">
        <v>10</v>
      </c>
      <c r="C54" t="s">
        <v>156</v>
      </c>
      <c r="D54" t="s">
        <v>167</v>
      </c>
      <c r="E54" s="1" t="s">
        <v>168</v>
      </c>
      <c r="F54" t="s">
        <v>59</v>
      </c>
      <c r="G54" t="s">
        <v>169</v>
      </c>
      <c r="H54" t="s">
        <v>170</v>
      </c>
    </row>
    <row r="55" spans="1:9" ht="210" x14ac:dyDescent="0.25">
      <c r="C55" t="s">
        <v>156</v>
      </c>
      <c r="D55" t="s">
        <v>171</v>
      </c>
      <c r="E55" s="1" t="s">
        <v>172</v>
      </c>
      <c r="F55" t="s">
        <v>59</v>
      </c>
      <c r="G55" t="s">
        <v>169</v>
      </c>
      <c r="H55" t="s">
        <v>170</v>
      </c>
    </row>
    <row r="56" spans="1:9" ht="270" x14ac:dyDescent="0.25">
      <c r="A56" t="s">
        <v>173</v>
      </c>
      <c r="B56" t="s">
        <v>174</v>
      </c>
      <c r="C56" t="s">
        <v>175</v>
      </c>
      <c r="D56" t="s">
        <v>176</v>
      </c>
      <c r="E56" t="s">
        <v>51</v>
      </c>
      <c r="F56" t="s">
        <v>177</v>
      </c>
      <c r="G56" s="1" t="s">
        <v>178</v>
      </c>
      <c r="H56" t="s">
        <v>15</v>
      </c>
      <c r="I56" t="s">
        <v>179</v>
      </c>
    </row>
    <row r="57" spans="1:9" ht="30" x14ac:dyDescent="0.25">
      <c r="B57" t="s">
        <v>180</v>
      </c>
      <c r="C57" t="s">
        <v>181</v>
      </c>
      <c r="E57" t="s">
        <v>51</v>
      </c>
      <c r="F57" t="s">
        <v>182</v>
      </c>
      <c r="G57" t="s">
        <v>51</v>
      </c>
      <c r="H57" t="s">
        <v>51</v>
      </c>
      <c r="I57" s="1" t="s">
        <v>183</v>
      </c>
    </row>
    <row r="58" spans="1:9" ht="60" x14ac:dyDescent="0.25">
      <c r="B58" t="s">
        <v>184</v>
      </c>
      <c r="C58" t="s">
        <v>184</v>
      </c>
      <c r="E58" s="1" t="s">
        <v>185</v>
      </c>
      <c r="F58" t="s">
        <v>186</v>
      </c>
      <c r="G58" s="1" t="s">
        <v>187</v>
      </c>
      <c r="H58" t="s">
        <v>51</v>
      </c>
      <c r="I58" t="s">
        <v>188</v>
      </c>
    </row>
    <row r="59" spans="1:9" x14ac:dyDescent="0.25">
      <c r="F59" t="s">
        <v>189</v>
      </c>
      <c r="G59" t="s">
        <v>190</v>
      </c>
    </row>
    <row r="60" spans="1:9" x14ac:dyDescent="0.25">
      <c r="F60" t="s">
        <v>191</v>
      </c>
      <c r="G60" t="s">
        <v>192</v>
      </c>
    </row>
    <row r="61" spans="1:9" ht="45" x14ac:dyDescent="0.25">
      <c r="F61" t="s">
        <v>193</v>
      </c>
      <c r="G61" s="1" t="s">
        <v>194</v>
      </c>
    </row>
    <row r="62" spans="1:9" x14ac:dyDescent="0.25">
      <c r="F62" t="s">
        <v>195</v>
      </c>
      <c r="G62" t="s">
        <v>15</v>
      </c>
    </row>
    <row r="63" spans="1:9" x14ac:dyDescent="0.25">
      <c r="F63" t="s">
        <v>196</v>
      </c>
      <c r="G63" t="s">
        <v>15</v>
      </c>
    </row>
    <row r="64" spans="1:9" x14ac:dyDescent="0.25">
      <c r="A64" t="s">
        <v>197</v>
      </c>
      <c r="B64" t="s">
        <v>197</v>
      </c>
      <c r="C64" t="s">
        <v>198</v>
      </c>
      <c r="E64" t="s">
        <v>51</v>
      </c>
      <c r="F64" t="s">
        <v>199</v>
      </c>
      <c r="G64" t="s">
        <v>51</v>
      </c>
      <c r="H64" t="s">
        <v>51</v>
      </c>
      <c r="I64" t="s">
        <v>51</v>
      </c>
    </row>
    <row r="65" spans="1:9" ht="210" x14ac:dyDescent="0.25">
      <c r="A65" s="1" t="s">
        <v>200</v>
      </c>
      <c r="B65" t="s">
        <v>201</v>
      </c>
      <c r="C65" t="s">
        <v>202</v>
      </c>
      <c r="D65" t="s">
        <v>203</v>
      </c>
      <c r="E65" s="1" t="s">
        <v>204</v>
      </c>
      <c r="F65" t="s">
        <v>201</v>
      </c>
      <c r="G65" s="1" t="s">
        <v>205</v>
      </c>
      <c r="H65" t="s">
        <v>51</v>
      </c>
      <c r="I65" s="1" t="s">
        <v>206</v>
      </c>
    </row>
    <row r="66" spans="1:9" ht="60" x14ac:dyDescent="0.25">
      <c r="B66" t="s">
        <v>207</v>
      </c>
      <c r="C66" t="s">
        <v>207</v>
      </c>
      <c r="E66" t="s">
        <v>51</v>
      </c>
      <c r="F66" t="s">
        <v>208</v>
      </c>
      <c r="G66" s="1" t="s">
        <v>209</v>
      </c>
      <c r="H66" t="s">
        <v>51</v>
      </c>
      <c r="I66" t="s">
        <v>188</v>
      </c>
    </row>
    <row r="67" spans="1:9" x14ac:dyDescent="0.25">
      <c r="F67" t="s">
        <v>210</v>
      </c>
      <c r="G67" t="s">
        <v>15</v>
      </c>
      <c r="H67" t="s">
        <v>51</v>
      </c>
    </row>
    <row r="68" spans="1:9" x14ac:dyDescent="0.25">
      <c r="F68" t="s">
        <v>211</v>
      </c>
      <c r="G68" t="s">
        <v>15</v>
      </c>
      <c r="H68" t="s">
        <v>51</v>
      </c>
    </row>
    <row r="69" spans="1:9" x14ac:dyDescent="0.25">
      <c r="F69" t="s">
        <v>212</v>
      </c>
      <c r="G69" t="s">
        <v>15</v>
      </c>
      <c r="H69" t="s">
        <v>51</v>
      </c>
    </row>
    <row r="70" spans="1:9" x14ac:dyDescent="0.25">
      <c r="F70" t="s">
        <v>213</v>
      </c>
      <c r="G70" t="s">
        <v>15</v>
      </c>
      <c r="H70" t="s">
        <v>51</v>
      </c>
    </row>
    <row r="71" spans="1:9" x14ac:dyDescent="0.25">
      <c r="F71" t="s">
        <v>143</v>
      </c>
      <c r="G71" t="s">
        <v>15</v>
      </c>
      <c r="H71" t="s">
        <v>51</v>
      </c>
    </row>
    <row r="72" spans="1:9" ht="90" x14ac:dyDescent="0.25">
      <c r="B72" t="s">
        <v>214</v>
      </c>
      <c r="C72" t="s">
        <v>143</v>
      </c>
      <c r="E72" s="1" t="s">
        <v>215</v>
      </c>
      <c r="F72" t="s">
        <v>216</v>
      </c>
      <c r="G72" t="s">
        <v>217</v>
      </c>
      <c r="H72" s="1" t="s">
        <v>218</v>
      </c>
      <c r="I72" t="s">
        <v>219</v>
      </c>
    </row>
    <row r="73" spans="1:9" ht="30" x14ac:dyDescent="0.25">
      <c r="G73" t="s">
        <v>220</v>
      </c>
      <c r="H73" s="1" t="s">
        <v>221</v>
      </c>
    </row>
    <row r="74" spans="1:9" ht="45" x14ac:dyDescent="0.25">
      <c r="G74" t="s">
        <v>222</v>
      </c>
      <c r="H74" s="1" t="s">
        <v>223</v>
      </c>
    </row>
    <row r="75" spans="1:9" x14ac:dyDescent="0.25">
      <c r="B75" t="s">
        <v>10</v>
      </c>
      <c r="D75" t="s">
        <v>224</v>
      </c>
      <c r="F75" t="s">
        <v>225</v>
      </c>
      <c r="I75" t="s">
        <v>226</v>
      </c>
    </row>
    <row r="76" spans="1:9" x14ac:dyDescent="0.25">
      <c r="B76" t="s">
        <v>227</v>
      </c>
      <c r="E76" t="s">
        <v>228</v>
      </c>
    </row>
    <row r="79" spans="1:9" ht="90" x14ac:dyDescent="0.25">
      <c r="A79" t="s">
        <v>229</v>
      </c>
      <c r="B79" t="s">
        <v>230</v>
      </c>
      <c r="I79" s="1" t="s">
        <v>231</v>
      </c>
    </row>
    <row r="80" spans="1:9" ht="45" x14ac:dyDescent="0.25">
      <c r="A80" t="s">
        <v>232</v>
      </c>
      <c r="B80" t="s">
        <v>10</v>
      </c>
      <c r="D80" t="s">
        <v>233</v>
      </c>
      <c r="E80" s="1" t="s">
        <v>234</v>
      </c>
    </row>
    <row r="81" spans="1:9" ht="75" x14ac:dyDescent="0.25">
      <c r="A81" t="s">
        <v>235</v>
      </c>
      <c r="B81" t="s">
        <v>10</v>
      </c>
      <c r="D81" t="s">
        <v>236</v>
      </c>
      <c r="E81" t="s">
        <v>237</v>
      </c>
      <c r="I81" s="1" t="s">
        <v>238</v>
      </c>
    </row>
    <row r="82" spans="1:9" ht="360" x14ac:dyDescent="0.25">
      <c r="B82" t="s">
        <v>239</v>
      </c>
      <c r="D82" s="1" t="s">
        <v>240</v>
      </c>
      <c r="F82" s="1" t="s">
        <v>241</v>
      </c>
      <c r="I82" s="1" t="s">
        <v>242</v>
      </c>
    </row>
    <row r="83" spans="1:9" ht="75" x14ac:dyDescent="0.25">
      <c r="A83" t="s">
        <v>243</v>
      </c>
      <c r="B83" t="s">
        <v>244</v>
      </c>
      <c r="E83" t="s">
        <v>245</v>
      </c>
      <c r="F83" s="1" t="s">
        <v>246</v>
      </c>
    </row>
    <row r="84" spans="1:9" ht="90" x14ac:dyDescent="0.25">
      <c r="A84" t="s">
        <v>247</v>
      </c>
      <c r="B84" t="s">
        <v>248</v>
      </c>
      <c r="E84" s="1" t="s">
        <v>249</v>
      </c>
      <c r="F84" t="s">
        <v>250</v>
      </c>
      <c r="I84" s="1" t="s">
        <v>251</v>
      </c>
    </row>
    <row r="85" spans="1:9" x14ac:dyDescent="0.25">
      <c r="A85" t="s">
        <v>252</v>
      </c>
      <c r="B85" t="s">
        <v>253</v>
      </c>
      <c r="D85" t="s">
        <v>254</v>
      </c>
      <c r="F85" t="s">
        <v>143</v>
      </c>
      <c r="I85" t="s">
        <v>255</v>
      </c>
    </row>
    <row r="86" spans="1:9" x14ac:dyDescent="0.25">
      <c r="A86" t="s">
        <v>256</v>
      </c>
    </row>
    <row r="87" spans="1:9" ht="135" x14ac:dyDescent="0.25">
      <c r="B87" t="s">
        <v>257</v>
      </c>
      <c r="D87" s="1" t="s">
        <v>258</v>
      </c>
      <c r="F87" t="s">
        <v>72</v>
      </c>
      <c r="G87" t="s">
        <v>73</v>
      </c>
      <c r="I87" s="1" t="s">
        <v>259</v>
      </c>
    </row>
    <row r="88" spans="1:9" ht="60" x14ac:dyDescent="0.25">
      <c r="B88" t="s">
        <v>260</v>
      </c>
      <c r="D88" s="1" t="s">
        <v>261</v>
      </c>
      <c r="F88" t="s">
        <v>72</v>
      </c>
      <c r="G88" t="s">
        <v>73</v>
      </c>
      <c r="I88" s="1" t="s">
        <v>262</v>
      </c>
    </row>
    <row r="89" spans="1:9" ht="75" x14ac:dyDescent="0.25">
      <c r="B89" t="s">
        <v>263</v>
      </c>
      <c r="D89" s="1" t="s">
        <v>264</v>
      </c>
      <c r="F89" t="s">
        <v>72</v>
      </c>
      <c r="G89" t="s">
        <v>72</v>
      </c>
      <c r="I89" s="1" t="s">
        <v>265</v>
      </c>
    </row>
    <row r="90" spans="1:9" ht="75" x14ac:dyDescent="0.25">
      <c r="B90" t="s">
        <v>266</v>
      </c>
      <c r="D90" s="1" t="s">
        <v>267</v>
      </c>
      <c r="F90" t="s">
        <v>72</v>
      </c>
      <c r="G90" t="s">
        <v>72</v>
      </c>
      <c r="I90" s="1" t="s">
        <v>268</v>
      </c>
    </row>
    <row r="91" spans="1:9" ht="75" x14ac:dyDescent="0.25">
      <c r="B91" t="s">
        <v>269</v>
      </c>
      <c r="D91" s="1" t="s">
        <v>270</v>
      </c>
      <c r="F91" t="s">
        <v>72</v>
      </c>
      <c r="G91" t="s">
        <v>72</v>
      </c>
      <c r="I91" s="1" t="s">
        <v>271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SHINE CASE DIRECTORY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2026-06-28T19:29:49Z</dcterms:created>
  <dcterms:modified xsi:type="dcterms:W3CDTF">2026-06-28T19:54:34Z</dcterms:modified>
</cp:coreProperties>
</file>